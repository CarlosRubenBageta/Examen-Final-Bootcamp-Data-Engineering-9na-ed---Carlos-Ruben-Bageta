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Rubén Bageta\Desktop\Cursos\Data Science\EDVAI\Bootcamp Data Engineering\Examen Final\Ejercicio_1\"/>
    </mc:Choice>
  </mc:AlternateContent>
  <xr:revisionPtr revIDLastSave="0" documentId="13_ncr:1_{3CB5CD76-CBE9-4EE0-9303-5C48EF5AC78B}" xr6:coauthVersionLast="47" xr6:coauthVersionMax="47" xr10:uidLastSave="{00000000-0000-0000-0000-000000000000}"/>
  <bookViews>
    <workbookView xWindow="-120" yWindow="-120" windowWidth="29040" windowHeight="15720" activeTab="1" xr2:uid="{AF3FEC11-3410-4E6D-B86C-214F2D2A83E0}"/>
  </bookViews>
  <sheets>
    <sheet name="Tabla ejercicio 1 ej 9" sheetId="2" r:id="rId1"/>
    <sheet name="Tabla ejercicio 1 ej 10 - Traba" sheetId="3" r:id="rId2"/>
    <sheet name="Tabla ejercicio 1 ej 10" sheetId="1" r:id="rId3"/>
  </sheets>
  <definedNames>
    <definedName name="DatosExternos_1" localSheetId="1" hidden="1">'Tabla ejercicio 1 ej 10 - Traba'!$B$2:$C$12</definedName>
    <definedName name="DatosExternos_1" localSheetId="0" hidden="1">'Tabla ejercicio 1 ej 9'!$B$2:$C$12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E5" i="2"/>
  <c r="E4" i="2"/>
  <c r="E3" i="2"/>
  <c r="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807586-F814-4A7A-8416-6D74A7945365}" keepAlive="1" name="Consulta - Tabla ejercicio 1 ej 10 - Trabajo final" description="Conexión a la consulta 'Tabla ejercicio 1 ej 10 - Trabajo final' en el libro." type="5" refreshedVersion="8" background="1" saveData="1">
    <dbPr connection="Provider=Microsoft.Mashup.OleDb.1;Data Source=$Workbook$;Location=&quot;Tabla ejercicio 1 ej 10 - Trabajo final&quot;;Extended Properties=&quot;&quot;" command="SELECT * FROM [Tabla ejercicio 1 ej 10 - Trabajo final]"/>
  </connection>
  <connection id="2" xr16:uid="{4515301C-C0B9-478E-9D07-03E989A6A53E}" keepAlive="1" name="Consulta - Tabla ejercicio 1 ej 9 - Trabajo final" description="Conexión a la consulta 'Tabla ejercicio 1 ej 9 - Trabajo final' en el libro." type="5" refreshedVersion="8" background="1" saveData="1">
    <dbPr connection="Provider=Microsoft.Mashup.OleDb.1;Data Source=$Workbook$;Location=&quot;Tabla ejercicio 1 ej 9 - Trabajo final&quot;;Extended Properties=&quot;&quot;" command="SELECT * FROM [Tabla ejercicio 1 ej 9 - Trabajo final]"/>
  </connection>
</connections>
</file>

<file path=xl/sharedStrings.xml><?xml version="1.0" encoding="utf-8"?>
<sst xmlns="http://schemas.openxmlformats.org/spreadsheetml/2006/main" count="24" uniqueCount="24">
  <si>
    <t>nombre_aerolinea</t>
  </si>
  <si>
    <t>cantidad_pasajeros</t>
  </si>
  <si>
    <t>AEROLINEAS ARGENTINAS SA</t>
  </si>
  <si>
    <t>JETSMART AIRLINES S.A.</t>
  </si>
  <si>
    <t>FB LÍNEAS AÉREAS - FLYBONDI</t>
  </si>
  <si>
    <t>0</t>
  </si>
  <si>
    <t>AMERICAN JET S.A.</t>
  </si>
  <si>
    <t>L.A.D.E.</t>
  </si>
  <si>
    <t>BAIRES FLY SA</t>
  </si>
  <si>
    <t>LADE</t>
  </si>
  <si>
    <t>FUERZA AEREA ARGENTINA</t>
  </si>
  <si>
    <t>FUERZA AEREA ARGENTINA (FAA)</t>
  </si>
  <si>
    <t>nombre_aeronave</t>
  </si>
  <si>
    <t>cantidad_vuelos</t>
  </si>
  <si>
    <t>EMB-ERJ190100IGW</t>
  </si>
  <si>
    <t>CE-150-L</t>
  </si>
  <si>
    <t>CE-152</t>
  </si>
  <si>
    <t>CE-150-M</t>
  </si>
  <si>
    <t>AIB-A320-232</t>
  </si>
  <si>
    <t>BO-737-800</t>
  </si>
  <si>
    <t>CE-150-J</t>
  </si>
  <si>
    <t>CE-150-G</t>
  </si>
  <si>
    <t>BO-B737-800</t>
  </si>
  <si>
    <t>PA-PA-28-181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</si>
</sst>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 de pasajeros - 01-01-2021 al 30-6-2022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ejercicio 1 ej 9'!$B$3</c:f>
              <c:strCache>
                <c:ptCount val="1"/>
                <c:pt idx="0">
                  <c:v>AEROLINEAS ARGENTINAS 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ejercicio 1 ej 9'!$C$2</c:f>
              <c:strCache>
                <c:ptCount val="1"/>
                <c:pt idx="0">
                  <c:v>cantidad_pasajeros</c:v>
                </c:pt>
              </c:strCache>
            </c:strRef>
          </c:cat>
          <c:val>
            <c:numRef>
              <c:f>'Tabla ejercicio 1 ej 9'!$C$3</c:f>
              <c:numCache>
                <c:formatCode>General</c:formatCode>
                <c:ptCount val="1"/>
                <c:pt idx="0">
                  <c:v>7484860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8-4139-BB93-F0AB0B46B35C}"/>
            </c:ext>
          </c:extLst>
        </c:ser>
        <c:ser>
          <c:idx val="1"/>
          <c:order val="1"/>
          <c:tx>
            <c:strRef>
              <c:f>'Tabla ejercicio 1 ej 9'!$B$4</c:f>
              <c:strCache>
                <c:ptCount val="1"/>
                <c:pt idx="0">
                  <c:v>JETSMART AIRLINES S.A.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ejercicio 1 ej 9'!$C$2</c:f>
              <c:strCache>
                <c:ptCount val="1"/>
                <c:pt idx="0">
                  <c:v>cantidad_pasajeros</c:v>
                </c:pt>
              </c:strCache>
            </c:strRef>
          </c:cat>
          <c:val>
            <c:numRef>
              <c:f>'Tabla ejercicio 1 ej 9'!$C$4</c:f>
              <c:numCache>
                <c:formatCode>General</c:formatCode>
                <c:ptCount val="1"/>
                <c:pt idx="0">
                  <c:v>1511650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98-4139-BB93-F0AB0B46B35C}"/>
            </c:ext>
          </c:extLst>
        </c:ser>
        <c:ser>
          <c:idx val="2"/>
          <c:order val="2"/>
          <c:tx>
            <c:strRef>
              <c:f>'Tabla ejercicio 1 ej 9'!$B$5</c:f>
              <c:strCache>
                <c:ptCount val="1"/>
                <c:pt idx="0">
                  <c:v>FB LÍNEAS AÉREAS - FLYBONDI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ejercicio 1 ej 9'!$C$2</c:f>
              <c:strCache>
                <c:ptCount val="1"/>
                <c:pt idx="0">
                  <c:v>cantidad_pasajeros</c:v>
                </c:pt>
              </c:strCache>
            </c:strRef>
          </c:cat>
          <c:val>
            <c:numRef>
              <c:f>'Tabla ejercicio 1 ej 9'!$C$5</c:f>
              <c:numCache>
                <c:formatCode>General</c:formatCode>
                <c:ptCount val="1"/>
                <c:pt idx="0">
                  <c:v>1482473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98-4139-BB93-F0AB0B46B35C}"/>
            </c:ext>
          </c:extLst>
        </c:ser>
        <c:ser>
          <c:idx val="3"/>
          <c:order val="3"/>
          <c:tx>
            <c:strRef>
              <c:f>'Tabla ejercicio 1 ej 9'!$B$6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ejercicio 1 ej 9'!$C$2</c:f>
              <c:strCache>
                <c:ptCount val="1"/>
                <c:pt idx="0">
                  <c:v>cantidad_pasajeros</c:v>
                </c:pt>
              </c:strCache>
            </c:strRef>
          </c:cat>
          <c:val>
            <c:numRef>
              <c:f>'Tabla ejercicio 1 ej 9'!$C$6</c:f>
              <c:numCache>
                <c:formatCode>General</c:formatCode>
                <c:ptCount val="1"/>
                <c:pt idx="0">
                  <c:v>92592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98-4139-BB93-F0AB0B46B35C}"/>
            </c:ext>
          </c:extLst>
        </c:ser>
        <c:ser>
          <c:idx val="4"/>
          <c:order val="4"/>
          <c:tx>
            <c:strRef>
              <c:f>'Tabla ejercicio 1 ej 9'!$B$7</c:f>
              <c:strCache>
                <c:ptCount val="1"/>
                <c:pt idx="0">
                  <c:v>AMERICAN JET S.A.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ejercicio 1 ej 9'!$C$2</c:f>
              <c:strCache>
                <c:ptCount val="1"/>
                <c:pt idx="0">
                  <c:v>cantidad_pasajeros</c:v>
                </c:pt>
              </c:strCache>
            </c:strRef>
          </c:cat>
          <c:val>
            <c:numRef>
              <c:f>'Tabla ejercicio 1 ej 9'!$C$7</c:f>
              <c:numCache>
                <c:formatCode>General</c:formatCode>
                <c:ptCount val="1"/>
                <c:pt idx="0">
                  <c:v>25789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98-4139-BB93-F0AB0B46B35C}"/>
            </c:ext>
          </c:extLst>
        </c:ser>
        <c:ser>
          <c:idx val="5"/>
          <c:order val="5"/>
          <c:tx>
            <c:strRef>
              <c:f>'Tabla ejercicio 1 ej 9'!$B$8</c:f>
              <c:strCache>
                <c:ptCount val="1"/>
                <c:pt idx="0">
                  <c:v>L.A.D.E.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ejercicio 1 ej 9'!$C$2</c:f>
              <c:strCache>
                <c:ptCount val="1"/>
                <c:pt idx="0">
                  <c:v>cantidad_pasajeros</c:v>
                </c:pt>
              </c:strCache>
            </c:strRef>
          </c:cat>
          <c:val>
            <c:numRef>
              <c:f>'Tabla ejercicio 1 ej 9'!$C$8</c:f>
              <c:numCache>
                <c:formatCode>General</c:formatCode>
                <c:ptCount val="1"/>
                <c:pt idx="0">
                  <c:v>15074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98-4139-BB93-F0AB0B46B35C}"/>
            </c:ext>
          </c:extLst>
        </c:ser>
        <c:ser>
          <c:idx val="6"/>
          <c:order val="6"/>
          <c:tx>
            <c:strRef>
              <c:f>'Tabla ejercicio 1 ej 9'!$B$9</c:f>
              <c:strCache>
                <c:ptCount val="1"/>
                <c:pt idx="0">
                  <c:v>BAIRES FLY SA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ejercicio 1 ej 9'!$C$2</c:f>
              <c:strCache>
                <c:ptCount val="1"/>
                <c:pt idx="0">
                  <c:v>cantidad_pasajeros</c:v>
                </c:pt>
              </c:strCache>
            </c:strRef>
          </c:cat>
          <c:val>
            <c:numRef>
              <c:f>'Tabla ejercicio 1 ej 9'!$C$9</c:f>
              <c:numCache>
                <c:formatCode>General</c:formatCode>
                <c:ptCount val="1"/>
                <c:pt idx="0">
                  <c:v>4960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98-4139-BB93-F0AB0B46B35C}"/>
            </c:ext>
          </c:extLst>
        </c:ser>
        <c:ser>
          <c:idx val="7"/>
          <c:order val="7"/>
          <c:tx>
            <c:strRef>
              <c:f>'Tabla ejercicio 1 ej 9'!$B$10</c:f>
              <c:strCache>
                <c:ptCount val="1"/>
                <c:pt idx="0">
                  <c:v>LADE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ejercicio 1 ej 9'!$C$2</c:f>
              <c:strCache>
                <c:ptCount val="1"/>
                <c:pt idx="0">
                  <c:v>cantidad_pasajeros</c:v>
                </c:pt>
              </c:strCache>
            </c:strRef>
          </c:cat>
          <c:val>
            <c:numRef>
              <c:f>'Tabla ejercicio 1 ej 9'!$C$10</c:f>
              <c:numCache>
                <c:formatCode>General</c:formatCode>
                <c:ptCount val="1"/>
                <c:pt idx="0">
                  <c:v>3895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98-4139-BB93-F0AB0B46B35C}"/>
            </c:ext>
          </c:extLst>
        </c:ser>
        <c:ser>
          <c:idx val="8"/>
          <c:order val="8"/>
          <c:tx>
            <c:strRef>
              <c:f>'Tabla ejercicio 1 ej 9'!$B$11</c:f>
              <c:strCache>
                <c:ptCount val="1"/>
                <c:pt idx="0">
                  <c:v>FUERZA AEREA ARGENTINA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ejercicio 1 ej 9'!$C$2</c:f>
              <c:strCache>
                <c:ptCount val="1"/>
                <c:pt idx="0">
                  <c:v>cantidad_pasajeros</c:v>
                </c:pt>
              </c:strCache>
            </c:strRef>
          </c:cat>
          <c:val>
            <c:numRef>
              <c:f>'Tabla ejercicio 1 ej 9'!$C$11</c:f>
              <c:numCache>
                <c:formatCode>General</c:formatCode>
                <c:ptCount val="1"/>
                <c:pt idx="0">
                  <c:v>3855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98-4139-BB93-F0AB0B46B35C}"/>
            </c:ext>
          </c:extLst>
        </c:ser>
        <c:ser>
          <c:idx val="9"/>
          <c:order val="9"/>
          <c:tx>
            <c:strRef>
              <c:f>'Tabla ejercicio 1 ej 9'!$B$12</c:f>
              <c:strCache>
                <c:ptCount val="1"/>
                <c:pt idx="0">
                  <c:v>FUERZA AEREA ARGENTINA (FAA)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ejercicio 1 ej 9'!$C$2</c:f>
              <c:strCache>
                <c:ptCount val="1"/>
                <c:pt idx="0">
                  <c:v>cantidad_pasajeros</c:v>
                </c:pt>
              </c:strCache>
            </c:strRef>
          </c:cat>
          <c:val>
            <c:numRef>
              <c:f>'Tabla ejercicio 1 ej 9'!$C$12</c:f>
              <c:numCache>
                <c:formatCode>General</c:formatCode>
                <c:ptCount val="1"/>
                <c:pt idx="0">
                  <c:v>3138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98-4139-BB93-F0AB0B46B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184944"/>
        <c:axId val="601301887"/>
      </c:barChart>
      <c:catAx>
        <c:axId val="116618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301887"/>
        <c:crosses val="autoZero"/>
        <c:auto val="1"/>
        <c:lblAlgn val="ctr"/>
        <c:lblOffset val="100"/>
        <c:noMultiLvlLbl val="0"/>
      </c:catAx>
      <c:valAx>
        <c:axId val="6013018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18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</a:t>
            </a:r>
            <a:r>
              <a:rPr lang="en-US" baseline="0"/>
              <a:t> de v</a:t>
            </a:r>
            <a:r>
              <a:rPr lang="en-US"/>
              <a:t>uelos (BA</a:t>
            </a:r>
            <a:r>
              <a:rPr lang="en-US" baseline="0"/>
              <a:t> y CABA) - 01-01-2021 al 30-06-2022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ejercicio 1 ej 10 - Traba'!$C$2</c:f>
              <c:strCache>
                <c:ptCount val="1"/>
                <c:pt idx="0">
                  <c:v>cantidad_vuelos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ejercicio 1 ej 10 - Traba'!$B$3:$B$12</c:f>
              <c:strCache>
                <c:ptCount val="10"/>
                <c:pt idx="0">
                  <c:v>EMB-ERJ190100IGW</c:v>
                </c:pt>
                <c:pt idx="1">
                  <c:v>CE-150-L</c:v>
                </c:pt>
                <c:pt idx="2">
                  <c:v>CE-152</c:v>
                </c:pt>
                <c:pt idx="3">
                  <c:v>CE-150-M</c:v>
                </c:pt>
                <c:pt idx="4">
                  <c:v>AIB-A320-232</c:v>
                </c:pt>
                <c:pt idx="5">
                  <c:v>BO-737-800</c:v>
                </c:pt>
                <c:pt idx="6">
                  <c:v>CE-150-J</c:v>
                </c:pt>
                <c:pt idx="7">
                  <c:v>CE-150-G</c:v>
                </c:pt>
                <c:pt idx="8">
                  <c:v>BO-B737-800</c:v>
                </c:pt>
                <c:pt idx="9">
                  <c:v>PA-PA-28-181</c:v>
                </c:pt>
              </c:strCache>
            </c:strRef>
          </c:cat>
          <c:val>
            <c:numRef>
              <c:f>'Tabla ejercicio 1 ej 10 - Traba'!$C$3:$C$12</c:f>
              <c:numCache>
                <c:formatCode>General</c:formatCode>
                <c:ptCount val="10"/>
                <c:pt idx="0">
                  <c:v>12470</c:v>
                </c:pt>
                <c:pt idx="1">
                  <c:v>8117</c:v>
                </c:pt>
                <c:pt idx="2">
                  <c:v>7980</c:v>
                </c:pt>
                <c:pt idx="3">
                  <c:v>6081</c:v>
                </c:pt>
                <c:pt idx="4">
                  <c:v>5345</c:v>
                </c:pt>
                <c:pt idx="5">
                  <c:v>4537</c:v>
                </c:pt>
                <c:pt idx="6">
                  <c:v>3012</c:v>
                </c:pt>
                <c:pt idx="7">
                  <c:v>2871</c:v>
                </c:pt>
                <c:pt idx="8">
                  <c:v>2736</c:v>
                </c:pt>
                <c:pt idx="9">
                  <c:v>2456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4-4184-9FC4-BF0D201CC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0063935"/>
        <c:axId val="700066335"/>
      </c:barChart>
      <c:catAx>
        <c:axId val="7000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066335"/>
        <c:crosses val="autoZero"/>
        <c:auto val="1"/>
        <c:lblAlgn val="ctr"/>
        <c:lblOffset val="100"/>
        <c:noMultiLvlLbl val="0"/>
      </c:catAx>
      <c:valAx>
        <c:axId val="70006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06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481012</xdr:colOff>
      <xdr:row>1</xdr:row>
      <xdr:rowOff>4761</xdr:rowOff>
    </xdr:from>
    <xdr:to>
      <xdr:col>16</xdr:col>
      <xdr:colOff>571500</xdr:colOff>
      <xdr:row>20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F62020-B92C-A72A-9A3E-DA86BCB43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400049</xdr:colOff>
      <xdr:row>1</xdr:row>
      <xdr:rowOff>0</xdr:rowOff>
    </xdr:from>
    <xdr:to>
      <xdr:col>11</xdr:col>
      <xdr:colOff>142875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257F2C-4970-9690-92D0-1AE8C40EE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26C3947-D9F5-4D8F-871B-486AC0D87BC0}" autoFormatId="16" applyNumberFormats="0" applyBorderFormats="0" applyFontFormats="0" applyPatternFormats="0" applyAlignmentFormats="0" applyWidthHeightFormats="0">
  <queryTableRefresh nextId="3">
    <queryTableFields count="2">
      <queryTableField id="1" name="nombre_aerolinea" tableColumnId="1"/>
      <queryTableField id="2" name="cantidad_pasajero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F6C5CA9-F84C-4895-AAAE-6C97BBF32200}" autoFormatId="16" applyNumberFormats="0" applyBorderFormats="0" applyFontFormats="0" applyPatternFormats="0" applyAlignmentFormats="0" applyWidthHeightFormats="0">
  <queryTableRefresh nextId="3">
    <queryTableFields count="2">
      <queryTableField id="1" name="nombre_aeronave" tableColumnId="1"/>
      <queryTableField id="2" name="cantidad_vuelo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7CAC77-C591-46DE-82E0-A28502E5581A}" name="Tabla_ejercicio_1_ej_9___Trabajo_final" displayName="Tabla_ejercicio_1_ej_9___Trabajo_final" ref="B2:C13" tableType="queryTable" totalsRowCount="1">
  <autoFilter ref="B2:C12" xr:uid="{0E7CAC77-C591-46DE-82E0-A28502E5581A}"/>
  <tableColumns count="2">
    <tableColumn id="1" xr3:uid="{8D7BF1A0-A1E8-4BA6-B195-45937B2D2421}" uniqueName="1" name="nombre_aerolinea" queryTableFieldId="1" dataDxfId="2" totalsRowDxfId="1"/>
    <tableColumn id="2" xr3:uid="{9CD99B9F-5784-4B60-BF7E-EE45EC6CD033}" uniqueName="2" name="cantidad_pasajeros" totalsRowFunction="custom" queryTableFieldId="2">
      <totalsRowFormula>+SUM(Tabla_ejercicio_1_ej_9___Trabajo_final[cantidad_pasajeros])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22DC38-020F-47CF-87C7-F388905993E6}" name="Tabla_ejercicio_1_ej_10___Trabajo_final" displayName="Tabla_ejercicio_1_ej_10___Trabajo_final" ref="B2:C12" tableType="queryTable" totalsRowShown="0">
  <autoFilter ref="B2:C12" xr:uid="{0F22DC38-020F-47CF-87C7-F388905993E6}"/>
  <tableColumns count="2">
    <tableColumn id="1" xr3:uid="{56457FDC-911E-419F-AA54-33B27D56ADC9}" uniqueName="1" name="nombre_aeronave" queryTableFieldId="1" dataDxfId="0"/>
    <tableColumn id="2" xr3:uid="{AD2FCB58-7675-4838-B2B8-62E36274C3B0}" uniqueName="2" name="cantidad_vuelo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712B-D44B-42C2-87B2-0956D7B856A7}">
  <dimension ref="B2:F13"/>
  <sheetViews>
    <sheetView workbookViewId="0">
      <selection activeCell="D30" sqref="D30"/>
    </sheetView>
  </sheetViews>
  <sheetFormatPr baseColWidth="10" defaultRowHeight="15" x14ac:dyDescent="0.25"/>
  <cols>
    <col min="2" max="2" width="29.5703125" bestFit="1" customWidth="1"/>
    <col min="3" max="3" width="20.7109375" bestFit="1" customWidth="1"/>
  </cols>
  <sheetData>
    <row r="2" spans="2:6" x14ac:dyDescent="0.25">
      <c r="B2" t="s">
        <v>0</v>
      </c>
      <c r="C2" t="s">
        <v>1</v>
      </c>
    </row>
    <row r="3" spans="2:6" x14ac:dyDescent="0.25">
      <c r="B3" t="s">
        <v>2</v>
      </c>
      <c r="C3">
        <v>7484860</v>
      </c>
      <c r="E3">
        <f>+Tabla_ejercicio_1_ej_9___Trabajo_final[[#This Row],[cantidad_pasajeros]]/Tabla_ejercicio_1_ej_9___Trabajo_final[[#Totals],[cantidad_pasajeros]]*100</f>
        <v>70.423961116590206</v>
      </c>
    </row>
    <row r="4" spans="2:6" x14ac:dyDescent="0.25">
      <c r="B4" t="s">
        <v>3</v>
      </c>
      <c r="C4">
        <v>1511650</v>
      </c>
      <c r="E4">
        <f>+Tabla_ejercicio_1_ej_9___Trabajo_final[[#This Row],[cantidad_pasajeros]]/Tabla_ejercicio_1_ej_9___Trabajo_final[[#Totals],[cantidad_pasajeros]]*100</f>
        <v>14.222895394422016</v>
      </c>
    </row>
    <row r="5" spans="2:6" x14ac:dyDescent="0.25">
      <c r="B5" t="s">
        <v>4</v>
      </c>
      <c r="C5">
        <v>1482473</v>
      </c>
      <c r="E5">
        <f>+Tabla_ejercicio_1_ej_9___Trabajo_final[[#This Row],[cantidad_pasajeros]]/Tabla_ejercicio_1_ej_9___Trabajo_final[[#Totals],[cantidad_pasajeros]]*100</f>
        <v>13.948373237227527</v>
      </c>
    </row>
    <row r="6" spans="2:6" x14ac:dyDescent="0.25">
      <c r="B6" t="s">
        <v>5</v>
      </c>
      <c r="C6">
        <v>92592</v>
      </c>
      <c r="F6">
        <f>70.42+14.22+13.95</f>
        <v>98.59</v>
      </c>
    </row>
    <row r="7" spans="2:6" x14ac:dyDescent="0.25">
      <c r="B7" t="s">
        <v>6</v>
      </c>
      <c r="C7">
        <v>25789</v>
      </c>
    </row>
    <row r="8" spans="2:6" x14ac:dyDescent="0.25">
      <c r="B8" t="s">
        <v>7</v>
      </c>
      <c r="C8">
        <v>15074</v>
      </c>
    </row>
    <row r="9" spans="2:6" x14ac:dyDescent="0.25">
      <c r="B9" t="s">
        <v>8</v>
      </c>
      <c r="C9">
        <v>4960</v>
      </c>
    </row>
    <row r="10" spans="2:6" x14ac:dyDescent="0.25">
      <c r="B10" t="s">
        <v>9</v>
      </c>
      <c r="C10">
        <v>3895</v>
      </c>
    </row>
    <row r="11" spans="2:6" x14ac:dyDescent="0.25">
      <c r="B11" t="s">
        <v>10</v>
      </c>
      <c r="C11">
        <v>3855</v>
      </c>
    </row>
    <row r="12" spans="2:6" x14ac:dyDescent="0.25">
      <c r="B12" t="s">
        <v>11</v>
      </c>
      <c r="C12">
        <v>3138</v>
      </c>
    </row>
    <row r="13" spans="2:6" x14ac:dyDescent="0.25">
      <c r="C13">
        <f>+SUM(Tabla_ejercicio_1_ej_9___Trabajo_final[cantidad_pasajeros])</f>
        <v>10628286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4388-764B-4FAD-AFF7-19C5F36E2AFF}">
  <dimension ref="B2:C12"/>
  <sheetViews>
    <sheetView tabSelected="1" workbookViewId="0">
      <selection activeCell="O13" sqref="O13"/>
    </sheetView>
  </sheetViews>
  <sheetFormatPr baseColWidth="10" defaultRowHeight="15" x14ac:dyDescent="0.25"/>
  <cols>
    <col min="2" max="2" width="19.5703125" bestFit="1" customWidth="1"/>
    <col min="3" max="3" width="17.85546875" bestFit="1" customWidth="1"/>
  </cols>
  <sheetData>
    <row r="2" spans="2:3" x14ac:dyDescent="0.25">
      <c r="B2" t="s">
        <v>12</v>
      </c>
      <c r="C2" t="s">
        <v>13</v>
      </c>
    </row>
    <row r="3" spans="2:3" x14ac:dyDescent="0.25">
      <c r="B3" s="1" t="s">
        <v>14</v>
      </c>
      <c r="C3">
        <v>12470</v>
      </c>
    </row>
    <row r="4" spans="2:3" x14ac:dyDescent="0.25">
      <c r="B4" s="1" t="s">
        <v>15</v>
      </c>
      <c r="C4">
        <v>8117</v>
      </c>
    </row>
    <row r="5" spans="2:3" x14ac:dyDescent="0.25">
      <c r="B5" s="1" t="s">
        <v>16</v>
      </c>
      <c r="C5">
        <v>7980</v>
      </c>
    </row>
    <row r="6" spans="2:3" x14ac:dyDescent="0.25">
      <c r="B6" s="1" t="s">
        <v>17</v>
      </c>
      <c r="C6">
        <v>6081</v>
      </c>
    </row>
    <row r="7" spans="2:3" x14ac:dyDescent="0.25">
      <c r="B7" s="1" t="s">
        <v>18</v>
      </c>
      <c r="C7">
        <v>5345</v>
      </c>
    </row>
    <row r="8" spans="2:3" x14ac:dyDescent="0.25">
      <c r="B8" s="1" t="s">
        <v>19</v>
      </c>
      <c r="C8">
        <v>4537</v>
      </c>
    </row>
    <row r="9" spans="2:3" x14ac:dyDescent="0.25">
      <c r="B9" s="1" t="s">
        <v>20</v>
      </c>
      <c r="C9">
        <v>3012</v>
      </c>
    </row>
    <row r="10" spans="2:3" x14ac:dyDescent="0.25">
      <c r="B10" s="1" t="s">
        <v>21</v>
      </c>
      <c r="C10">
        <v>2871</v>
      </c>
    </row>
    <row r="11" spans="2:3" x14ac:dyDescent="0.25">
      <c r="B11" s="1" t="s">
        <v>22</v>
      </c>
      <c r="C11">
        <v>2736</v>
      </c>
    </row>
    <row r="12" spans="2:3" x14ac:dyDescent="0.25">
      <c r="B12" s="1" t="s">
        <v>23</v>
      </c>
      <c r="C12">
        <v>2456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5B5A-047C-4D25-88A0-0A9EB51C1A8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6A3CDC-9D41-48DA-932C-64ABB4C415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ejercicio 1 ej 9</vt:lpstr>
      <vt:lpstr>Tabla ejercicio 1 ej 10 - Traba</vt:lpstr>
      <vt:lpstr>Tabla ejercicio 1 ej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Rubén Bageta</dc:creator>
  <cp:lastModifiedBy>Carlos Rubén Bageta</cp:lastModifiedBy>
  <dcterms:created xsi:type="dcterms:W3CDTF">2025-11-23T15:38:54Z</dcterms:created>
  <dcterms:modified xsi:type="dcterms:W3CDTF">2025-11-23T23:39:13Z</dcterms:modified>
</cp:coreProperties>
</file>